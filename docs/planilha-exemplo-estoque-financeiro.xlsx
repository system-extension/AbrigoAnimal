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9cfe7ea98b4a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oque" sheetId="1" r:id="R07c443fed20c4017"/>
    <x:sheet xmlns:r="http://schemas.openxmlformats.org/officeDocument/2006/relationships" name="Financeiro" sheetId="2" r:id="Rd26e45e8de3447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R$ #,##0.00;[Red](R$ #,##0.00);-"/>
  </x:numFmts>
  <x:fonts count="7">
    <x:font>
      <x:sz val="11"/>
      <x:name val="Carlito"/>
    </x:font>
    <x:font>
      <x:sz val="10"/>
      <x:color rgb="FF20352E"/>
      <x:name val="Arial"/>
    </x:font>
    <x:font>
      <x:b/>
      <x:sz val="16"/>
      <x:color rgb="FF164C40"/>
      <x:name val="Arial"/>
    </x:font>
    <x:font>
      <x:i/>
      <x:sz val="10"/>
      <x:color rgb="FF5C7168"/>
      <x:name val="Arial"/>
    </x:font>
    <x:font>
      <x:b/>
      <x:sz val="10"/>
      <x:color rgb="FF164C40"/>
      <x:name val="Arial"/>
    </x:font>
    <x:font>
      <x:b/>
      <x:sz val="16"/>
      <x:color rgb="FFE07A32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4C40"/>
      </x:patternFill>
    </x:fill>
    <x:fill>
      <x:patternFill patternType="solid">
        <x:fgColor rgb="FFEEF4ED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9C2D20"/>
      </x:font>
      <x:fill>
        <x:patternFill patternType="solid">
          <x:bgColor rgb="FFFCE8E6"/>
        </x:patternFill>
      </x:fill>
    </x:dxf>
    <x:dxf>
      <x:font>
        <x:color rgb="FF9C4A24"/>
      </x:font>
      <x:fill>
        <x:patternFill patternType="solid">
          <x:bgColor rgb="FFFFF4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807246323a4e5e" /><Relationship Type="http://schemas.openxmlformats.org/officeDocument/2006/relationships/theme" Target="/xl/theme/theme1.xml" Id="R001c5d978a8943ea" /><Relationship Type="http://schemas.openxmlformats.org/officeDocument/2006/relationships/sharedStrings" Target="/xl/sharedStrings.xml" Id="R6fb6f0937ebf4132" /><Relationship Type="http://schemas.openxmlformats.org/officeDocument/2006/relationships/worksheet" Target="/xl/worksheets/sheet1.xml" Id="R07c443fed20c4017" /><Relationship Type="http://schemas.openxmlformats.org/officeDocument/2006/relationships/worksheet" Target="/xl/worksheets/sheet2.xml" Id="Rd26e45e8de3447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1" topLeftCell="A1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16" hidden="0" customWidth="1"/>
    <x:col min="5" max="5" width="12" hidden="0" customWidth="1"/>
    <x:col min="6" max="6" width="15" hidden="0" customWidth="1"/>
    <x:col min="7" max="7" width="12" hidden="0" customWidth="1"/>
    <x:col min="8" max="8" width="17" hidden="0" customWidth="1"/>
    <x:col min="9" max="9" width="2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Controle de estoque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4" t="str">
        <x:v>Modelo de acompanhamento de itens do Abrigo Animal Joinville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>
      <x:c r="A6" s="7" t="str">
        <x:v>Itens cadastrados</x:v>
      </x:c>
      <x:c r="B6" s="2"/>
      <x:c r="C6" s="2"/>
      <x:c r="D6" s="7" t="str">
        <x:v>Unidades em estoque</x:v>
      </x:c>
      <x:c r="E6" s="2"/>
      <x:c r="F6" s="2"/>
      <x:c r="G6" s="7" t="str">
        <x:v>Itens para repor</x:v>
      </x:c>
      <x:c r="H6" s="2"/>
      <x:c r="I6" s="2"/>
    </x:row>
    <x:row r="7">
      <x:c r="A7" s="8" t="n">
        <x:f>COUNTA(A12:A200)</x:f>
        <x:v>8</x:v>
      </x:c>
      <x:c r="B7" s="2"/>
      <x:c r="C7" s="2"/>
      <x:c r="D7" s="8" t="n">
        <x:f>SUM(D12:D200)</x:f>
        <x:v>72</x:v>
      </x:c>
      <x:c r="E7" s="2"/>
      <x:c r="F7" s="2"/>
      <x:c r="G7" s="8" t="n">
        <x:f>COUNTIF(G12:G200,"Repor")</x:f>
        <x:v>3</x:v>
      </x:c>
      <x:c r="H7" s="2"/>
      <x:c r="I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</x:row>
    <x:row r="11" ht="22" customHeight="1">
      <x:c r="A11" s="12" t="str">
        <x:v>Código</x:v>
      </x:c>
      <x:c r="B11" s="12" t="str">
        <x:v>Item</x:v>
      </x:c>
      <x:c r="C11" s="12" t="str">
        <x:v>Categoria</x:v>
      </x:c>
      <x:c r="D11" s="12" t="str">
        <x:v>Quantidade atual</x:v>
      </x:c>
      <x:c r="E11" s="12" t="str">
        <x:v>Unidade</x:v>
      </x:c>
      <x:c r="F11" s="12" t="str">
        <x:v>Estoque mínimo</x:v>
      </x:c>
      <x:c r="G11" s="12" t="str">
        <x:v>Situação</x:v>
      </x:c>
      <x:c r="H11" s="12" t="str">
        <x:v>Última atualização</x:v>
      </x:c>
      <x:c r="I11" s="12" t="str">
        <x:v>Observação</x:v>
      </x:c>
    </x:row>
    <x:row r="12" ht="22" customHeight="1">
      <x:c r="A12" s="13" t="str">
        <x:v>EST-001</x:v>
      </x:c>
      <x:c r="B12" s="13" t="str">
        <x:v>Ração adulto</x:v>
      </x:c>
      <x:c r="C12" s="13" t="str">
        <x:v>Alimentação</x:v>
      </x:c>
      <x:c r="D12" s="13" t="n">
        <x:v>3</x:v>
      </x:c>
      <x:c r="E12" s="13" t="str">
        <x:v>sacos</x:v>
      </x:c>
      <x:c r="F12" s="13" t="n">
        <x:v>5</x:v>
      </x:c>
      <x:c r="G12" s="13" t="str">
        <x:f>IF(D12&lt;=F12,"Repor","OK")</x:f>
        <x:v>Repor</x:v>
      </x:c>
      <x:c r="H12" s="14" t="n">
        <x:v>46285</x:v>
      </x:c>
      <x:c r="I12" s="13" t="str">
        <x:v>Priorizar compra</x:v>
      </x:c>
    </x:row>
    <x:row r="13" ht="22" customHeight="1">
      <x:c r="A13" s="13" t="str">
        <x:v>EST-002</x:v>
      </x:c>
      <x:c r="B13" s="13" t="str">
        <x:v>Ração filhote</x:v>
      </x:c>
      <x:c r="C13" s="13" t="str">
        <x:v>Alimentação</x:v>
      </x:c>
      <x:c r="D13" s="13" t="n">
        <x:v>8</x:v>
      </x:c>
      <x:c r="E13" s="13" t="str">
        <x:v>sacos</x:v>
      </x:c>
      <x:c r="F13" s="13" t="n">
        <x:v>4</x:v>
      </x:c>
      <x:c r="G13" s="13" t="str">
        <x:f>IF(D13&lt;=F13,"Repor","OK")</x:f>
        <x:v>OK</x:v>
      </x:c>
      <x:c r="H13" s="14" t="n">
        <x:v>46284</x:v>
      </x:c>
      <x:c r="I13" s="13" t="str"/>
    </x:row>
    <x:row r="14" ht="22" customHeight="1">
      <x:c r="A14" s="13" t="str">
        <x:v>EST-003</x:v>
      </x:c>
      <x:c r="B14" s="13" t="str">
        <x:v>Ração idoso</x:v>
      </x:c>
      <x:c r="C14" s="13" t="str">
        <x:v>Alimentação</x:v>
      </x:c>
      <x:c r="D14" s="13" t="n">
        <x:v>4</x:v>
      </x:c>
      <x:c r="E14" s="13" t="str">
        <x:v>sacos</x:v>
      </x:c>
      <x:c r="F14" s="13" t="n">
        <x:v>3</x:v>
      </x:c>
      <x:c r="G14" s="13" t="str">
        <x:f>IF(D14&lt;=F14,"Repor","OK")</x:f>
        <x:v>OK</x:v>
      </x:c>
      <x:c r="H14" s="14" t="n">
        <x:v>46283</x:v>
      </x:c>
      <x:c r="I14" s="13" t="str">
        <x:v>Uso dos cães idosos</x:v>
      </x:c>
    </x:row>
    <x:row r="15" ht="22" customHeight="1">
      <x:c r="A15" s="13" t="str">
        <x:v>EST-004</x:v>
      </x:c>
      <x:c r="B15" s="13" t="str">
        <x:v>Vermífugo</x:v>
      </x:c>
      <x:c r="C15" s="13" t="str">
        <x:v>Saúde</x:v>
      </x:c>
      <x:c r="D15" s="13" t="n">
        <x:v>24</x:v>
      </x:c>
      <x:c r="E15" s="13" t="str">
        <x:v>unidades</x:v>
      </x:c>
      <x:c r="F15" s="13" t="n">
        <x:v>10</x:v>
      </x:c>
      <x:c r="G15" s="13" t="str">
        <x:f>IF(D15&lt;=F15,"Repor","OK")</x:f>
        <x:v>OK</x:v>
      </x:c>
      <x:c r="H15" s="14" t="n">
        <x:v>46285</x:v>
      </x:c>
      <x:c r="I15" s="13" t="str"/>
    </x:row>
    <x:row r="16" ht="22" customHeight="1">
      <x:c r="A16" s="13" t="str">
        <x:v>EST-005</x:v>
      </x:c>
      <x:c r="B16" s="13" t="str">
        <x:v>Vacina múltipla</x:v>
      </x:c>
      <x:c r="C16" s="13" t="str">
        <x:v>Saúde</x:v>
      </x:c>
      <x:c r="D16" s="13" t="n">
        <x:v>6</x:v>
      </x:c>
      <x:c r="E16" s="13" t="str">
        <x:v>doses</x:v>
      </x:c>
      <x:c r="F16" s="13" t="n">
        <x:v>10</x:v>
      </x:c>
      <x:c r="G16" s="13" t="str">
        <x:f>IF(D16&lt;=F16,"Repor","OK")</x:f>
        <x:v>Repor</x:v>
      </x:c>
      <x:c r="H16" s="14" t="n">
        <x:v>46282</x:v>
      </x:c>
      <x:c r="I16" s="13" t="str">
        <x:v>Verificar agendamento veterinário</x:v>
      </x:c>
    </x:row>
    <x:row r="17" ht="22" customHeight="1">
      <x:c r="A17" s="13" t="str">
        <x:v>EST-006</x:v>
      </x:c>
      <x:c r="B17" s="13" t="str">
        <x:v>Tapetes higiênicos</x:v>
      </x:c>
      <x:c r="C17" s="13" t="str">
        <x:v>Higiene</x:v>
      </x:c>
      <x:c r="D17" s="13" t="n">
        <x:v>18</x:v>
      </x:c>
      <x:c r="E17" s="13" t="str">
        <x:v>pacotes</x:v>
      </x:c>
      <x:c r="F17" s="13" t="n">
        <x:v>12</x:v>
      </x:c>
      <x:c r="G17" s="13" t="str">
        <x:f>IF(D17&lt;=F17,"Repor","OK")</x:f>
        <x:v>OK</x:v>
      </x:c>
      <x:c r="H17" s="14" t="n">
        <x:v>46285</x:v>
      </x:c>
      <x:c r="I17" s="13" t="str"/>
    </x:row>
    <x:row r="18" ht="22" customHeight="1">
      <x:c r="A18" s="13" t="str">
        <x:v>EST-007</x:v>
      </x:c>
      <x:c r="B18" s="13" t="str">
        <x:v>Coleiras tamanho M</x:v>
      </x:c>
      <x:c r="C18" s="13" t="str">
        <x:v>Acessórios</x:v>
      </x:c>
      <x:c r="D18" s="13" t="n">
        <x:v>7</x:v>
      </x:c>
      <x:c r="E18" s="13" t="str">
        <x:v>unidades</x:v>
      </x:c>
      <x:c r="F18" s="13" t="n">
        <x:v>5</x:v>
      </x:c>
      <x:c r="G18" s="13" t="str">
        <x:f>IF(D18&lt;=F18,"Repor","OK")</x:f>
        <x:v>OK</x:v>
      </x:c>
      <x:c r="H18" s="14" t="n">
        <x:v>46281</x:v>
      </x:c>
      <x:c r="I18" s="13" t="str"/>
    </x:row>
    <x:row r="19" ht="22" customHeight="1">
      <x:c r="A19" s="13" t="str">
        <x:v>EST-008</x:v>
      </x:c>
      <x:c r="B19" s="13" t="str">
        <x:v>Produtos de limpeza</x:v>
      </x:c>
      <x:c r="C19" s="13" t="str">
        <x:v>Limpeza</x:v>
      </x:c>
      <x:c r="D19" s="13" t="n">
        <x:v>2</x:v>
      </x:c>
      <x:c r="E19" s="13" t="str">
        <x:v>frascos</x:v>
      </x:c>
      <x:c r="F19" s="13" t="n">
        <x:v>4</x:v>
      </x:c>
      <x:c r="G19" s="13" t="str">
        <x:f>IF(D19&lt;=F19,"Repor","OK")</x:f>
        <x:v>Repor</x:v>
      </x:c>
      <x:c r="H19" s="14" t="n">
        <x:v>46284</x:v>
      </x:c>
      <x:c r="I19" s="13" t="str">
        <x:v>Comprar na próxima semana</x:v>
      </x:c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</x:row>
  </x:sheetData>
  <x:mergeCells>
    <x:mergeCell ref="A2:I2"/>
    <x:mergeCell ref="A3:I3"/>
    <x:mergeCell ref="A6:B6"/>
    <x:mergeCell ref="A7:B7"/>
    <x:mergeCell ref="D6:E6"/>
    <x:mergeCell ref="D7:E7"/>
    <x:mergeCell ref="G6:H6"/>
    <x:mergeCell ref="G7:H7"/>
  </x:mergeCells>
  <x:conditionalFormatting sqref="G12:G19">
    <x:cfRule type="expression" dxfId="0" priority="1">
      <x:formula>G12="Repor"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1" topLeftCell="A12" activePane="bottomLeft" state="frozen"/>
    </x:sheetView>
  </x:sheetViews>
  <x:sheetFormatPr defaultRowHeight="15"/>
  <x:cols>
    <x:col min="1" max="1" width="14" hidden="0" customWidth="1"/>
    <x:col min="2" max="2" width="13" hidden="0" customWidth="1"/>
    <x:col min="3" max="3" width="18" hidden="0" customWidth="1"/>
    <x:col min="4" max="4" width="28" hidden="0" customWidth="1"/>
    <x:col min="5" max="5" width="14" hidden="0" customWidth="1"/>
    <x:col min="6" max="6" width="20" hidden="0" customWidth="1"/>
    <x:col min="7" max="7" width="18" hidden="0" customWidth="1"/>
    <x:col min="8" max="8" width="2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Controle financeiro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4" t="str">
        <x:v>Modelo simplificado de receitas e despesas do Abrigo Animal Joinville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>
      <x:c r="A6" s="7" t="str">
        <x:v>Receitas</x:v>
      </x:c>
      <x:c r="B6" s="2"/>
      <x:c r="C6" s="2"/>
      <x:c r="D6" s="7" t="str">
        <x:v>Despesas</x:v>
      </x:c>
      <x:c r="E6" s="2"/>
      <x:c r="F6" s="2"/>
      <x:c r="G6" s="7" t="str">
        <x:v>Saldo do período</x:v>
      </x:c>
      <x:c r="H6" s="2"/>
      <x:c r="I6" s="2"/>
    </x:row>
    <x:row r="7">
      <x:c r="A7" s="15" t="n">
        <x:f>SUMIF(B12:B200,"Receita",E12:E200)</x:f>
        <x:v>895</x:v>
      </x:c>
      <x:c r="B7" s="2"/>
      <x:c r="C7" s="2"/>
      <x:c r="D7" s="15" t="n">
        <x:f>SUMIF(B12:B200,"Despesa",E12:E200)</x:f>
        <x:v>1056</x:v>
      </x:c>
      <x:c r="E7" s="2"/>
      <x:c r="F7" s="2"/>
      <x:c r="G7" s="15" t="n">
        <x:f>A7-D7</x:f>
        <x:v>-161</x:v>
      </x:c>
      <x:c r="H7" s="2"/>
      <x:c r="I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</x:row>
    <x:row r="11" ht="22" customHeight="1">
      <x:c r="A11" s="12" t="str">
        <x:v>Data</x:v>
      </x:c>
      <x:c r="B11" s="12" t="str">
        <x:v>Tipo</x:v>
      </x:c>
      <x:c r="C11" s="12" t="str">
        <x:v>Categoria</x:v>
      </x:c>
      <x:c r="D11" s="12" t="str">
        <x:v>Descrição</x:v>
      </x:c>
      <x:c r="E11" s="12" t="str">
        <x:v>Valor (R$)</x:v>
      </x:c>
      <x:c r="F11" s="12" t="str">
        <x:v>Forma de pagamento</x:v>
      </x:c>
      <x:c r="G11" s="12" t="str">
        <x:v>Responsável</x:v>
      </x:c>
      <x:c r="H11" s="12" t="str">
        <x:v>Observação</x:v>
      </x:c>
      <x:c r="I11" s="2"/>
    </x:row>
    <x:row r="12" ht="22" customHeight="1">
      <x:c r="A12" s="14" t="n">
        <x:v>46267</x:v>
      </x:c>
      <x:c r="B12" s="13" t="str">
        <x:v>Receita</x:v>
      </x:c>
      <x:c r="C12" s="13" t="str">
        <x:v>Doação</x:v>
      </x:c>
      <x:c r="D12" s="13" t="str">
        <x:v>Doação via Pix</x:v>
      </x:c>
      <x:c r="E12" s="17" t="n">
        <x:v>450</x:v>
      </x:c>
      <x:c r="F12" s="13" t="str">
        <x:v>Pix</x:v>
      </x:c>
      <x:c r="G12" s="13" t="str">
        <x:v>Equipe financeira</x:v>
      </x:c>
      <x:c r="H12" s="13" t="str"/>
      <x:c r="I12" s="2"/>
    </x:row>
    <x:row r="13" ht="22" customHeight="1">
      <x:c r="A13" s="14" t="n">
        <x:v>46270</x:v>
      </x:c>
      <x:c r="B13" s="13" t="str">
        <x:v>Receita</x:v>
      </x:c>
      <x:c r="C13" s="13" t="str">
        <x:v>Apadrinhamento</x:v>
      </x:c>
      <x:c r="D13" s="13" t="str">
        <x:v>Contribuições mensais</x:v>
      </x:c>
      <x:c r="E13" s="17" t="n">
        <x:v>320</x:v>
      </x:c>
      <x:c r="F13" s="13" t="str">
        <x:v>Transferência</x:v>
      </x:c>
      <x:c r="G13" s="13" t="str">
        <x:v>Equipe financeira</x:v>
      </x:c>
      <x:c r="H13" s="13" t="str"/>
      <x:c r="I13" s="2"/>
    </x:row>
    <x:row r="14" ht="22" customHeight="1">
      <x:c r="A14" s="14" t="n">
        <x:v>46273</x:v>
      </x:c>
      <x:c r="B14" s="13" t="str">
        <x:v>Receita</x:v>
      </x:c>
      <x:c r="C14" s="13" t="str">
        <x:v>Evento</x:v>
      </x:c>
      <x:c r="D14" s="13" t="str">
        <x:v>Bazar solidário</x:v>
      </x:c>
      <x:c r="E14" s="17" t="n">
        <x:v>125</x:v>
      </x:c>
      <x:c r="F14" s="13" t="str">
        <x:v>Dinheiro</x:v>
      </x:c>
      <x:c r="G14" s="13" t="str">
        <x:v>Equipe de eventos</x:v>
      </x:c>
      <x:c r="H14" s="13" t="str"/>
      <x:c r="I14" s="2"/>
    </x:row>
    <x:row r="15" ht="22" customHeight="1">
      <x:c r="A15" s="14" t="n">
        <x:v>46275</x:v>
      </x:c>
      <x:c r="B15" s="13" t="str">
        <x:v>Despesa</x:v>
      </x:c>
      <x:c r="C15" s="13" t="str">
        <x:v>Alimentação</x:v>
      </x:c>
      <x:c r="D15" s="13" t="str">
        <x:v>Compra de ração adulto</x:v>
      </x:c>
      <x:c r="E15" s="17" t="n">
        <x:v>390</x:v>
      </x:c>
      <x:c r="F15" s="13" t="str">
        <x:v>Cartão</x:v>
      </x:c>
      <x:c r="G15" s="13" t="str">
        <x:v>Compras</x:v>
      </x:c>
      <x:c r="H15" s="13" t="str"/>
      <x:c r="I15" s="2"/>
    </x:row>
    <x:row r="16" ht="22" customHeight="1">
      <x:c r="A16" s="14" t="n">
        <x:v>46277</x:v>
      </x:c>
      <x:c r="B16" s="13" t="str">
        <x:v>Despesa</x:v>
      </x:c>
      <x:c r="C16" s="13" t="str">
        <x:v>Saúde</x:v>
      </x:c>
      <x:c r="D16" s="13" t="str">
        <x:v>Vacinas e atendimento</x:v>
      </x:c>
      <x:c r="E16" s="17" t="n">
        <x:v>240</x:v>
      </x:c>
      <x:c r="F16" s="13" t="str">
        <x:v>Pix</x:v>
      </x:c>
      <x:c r="G16" s="13" t="str">
        <x:v>Equipe veterinária</x:v>
      </x:c>
      <x:c r="H16" s="13" t="str"/>
      <x:c r="I16" s="2"/>
    </x:row>
    <x:row r="17" ht="22" customHeight="1">
      <x:c r="A17" s="14" t="n">
        <x:v>46280</x:v>
      </x:c>
      <x:c r="B17" s="13" t="str">
        <x:v>Despesa</x:v>
      </x:c>
      <x:c r="C17" s="13" t="str">
        <x:v>Veterinário</x:v>
      </x:c>
      <x:c r="D17" s="13" t="str">
        <x:v>Consulta de rotina</x:v>
      </x:c>
      <x:c r="E17" s="17" t="n">
        <x:v>180</x:v>
      </x:c>
      <x:c r="F17" s="13" t="str">
        <x:v>Pix</x:v>
      </x:c>
      <x:c r="G17" s="13" t="str">
        <x:v>Equipe veterinária</x:v>
      </x:c>
      <x:c r="H17" s="13" t="str"/>
      <x:c r="I17" s="2"/>
    </x:row>
    <x:row r="18" ht="22" customHeight="1">
      <x:c r="A18" s="14" t="n">
        <x:v>46282</x:v>
      </x:c>
      <x:c r="B18" s="13" t="str">
        <x:v>Despesa</x:v>
      </x:c>
      <x:c r="C18" s="13" t="str">
        <x:v>Limpeza</x:v>
      </x:c>
      <x:c r="D18" s="13" t="str">
        <x:v>Produtos de limpeza</x:v>
      </x:c>
      <x:c r="E18" s="17" t="n">
        <x:v>96</x:v>
      </x:c>
      <x:c r="F18" s="13" t="str">
        <x:v>Cartão</x:v>
      </x:c>
      <x:c r="G18" s="13" t="str">
        <x:v>Compras</x:v>
      </x:c>
      <x:c r="H18" s="13" t="str"/>
      <x:c r="I18" s="2"/>
    </x:row>
    <x:row r="19" ht="22" customHeight="1">
      <x:c r="A19" s="14" t="n">
        <x:v>46284</x:v>
      </x:c>
      <x:c r="B19" s="13" t="str">
        <x:v>Despesa</x:v>
      </x:c>
      <x:c r="C19" s="13" t="str">
        <x:v>Operação</x:v>
      </x:c>
      <x:c r="D19" s="13" t="str">
        <x:v>Água e energia</x:v>
      </x:c>
      <x:c r="E19" s="17" t="n">
        <x:v>150</x:v>
      </x:c>
      <x:c r="F19" s="13" t="str">
        <x:v>Boleto</x:v>
      </x:c>
      <x:c r="G19" s="13" t="str">
        <x:v>Administrativo</x:v>
      </x:c>
      <x:c r="H19" s="13" t="str"/>
      <x:c r="I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</x:row>
  </x:sheetData>
  <x:mergeCells>
    <x:mergeCell ref="A2:I2"/>
    <x:mergeCell ref="A3:I3"/>
    <x:mergeCell ref="A6:B6"/>
    <x:mergeCell ref="A7:B7"/>
    <x:mergeCell ref="D6:E6"/>
    <x:mergeCell ref="D7:E7"/>
    <x:mergeCell ref="G6:H6"/>
    <x:mergeCell ref="G7:H7"/>
  </x:mergeCells>
  <x:conditionalFormatting sqref="B12:B19">
    <x:cfRule type="expression" dxfId="1" priority="1">
      <x:formula>B12="Despesa"</x:formula>
    </x:cfRule>
  </x:conditionalFormatting>
  <x:pageMargins left="0.7" right="0.7" top="0.75" bottom="0.75" header="0.3" footer="0.3"/>
</x:worksheet>
</file>